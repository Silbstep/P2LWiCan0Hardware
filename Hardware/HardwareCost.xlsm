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30" windowWidth="21075" windowHeight="11310"/>
  </bookViews>
  <sheets>
    <sheet name="Hardware" sheetId="1" r:id="rId1"/>
  </sheets>
  <calcPr calcId="145621"/>
</workbook>
</file>

<file path=xl/calcChain.xml><?xml version="1.0" encoding="utf-8"?>
<calcChain xmlns="http://schemas.openxmlformats.org/spreadsheetml/2006/main">
  <c r="M48" i="1" l="1"/>
  <c r="O47" i="1"/>
  <c r="N47" i="1"/>
  <c r="M47" i="1"/>
  <c r="O46" i="1"/>
  <c r="N46" i="1"/>
  <c r="M46" i="1"/>
  <c r="O43" i="1"/>
  <c r="N43" i="1"/>
  <c r="M43" i="1"/>
  <c r="O42" i="1"/>
  <c r="N42" i="1"/>
  <c r="M42" i="1"/>
  <c r="O41" i="1"/>
  <c r="N41" i="1"/>
  <c r="M41" i="1"/>
  <c r="O40" i="1"/>
  <c r="N40" i="1"/>
  <c r="M40" i="1"/>
  <c r="O39" i="1"/>
  <c r="N39" i="1"/>
  <c r="M39" i="1"/>
  <c r="O38" i="1"/>
  <c r="N38" i="1"/>
  <c r="M38" i="1"/>
  <c r="O37" i="1"/>
  <c r="N37" i="1"/>
  <c r="M37" i="1"/>
  <c r="O36" i="1"/>
  <c r="N36" i="1"/>
  <c r="M36" i="1"/>
  <c r="O35" i="1"/>
  <c r="N35" i="1"/>
  <c r="M35" i="1"/>
  <c r="O34" i="1"/>
  <c r="N34" i="1"/>
  <c r="M34" i="1"/>
  <c r="O33" i="1"/>
  <c r="N33" i="1"/>
  <c r="M33" i="1"/>
  <c r="O32" i="1"/>
  <c r="N32" i="1"/>
  <c r="M32" i="1"/>
  <c r="O31" i="1"/>
  <c r="N31" i="1"/>
  <c r="M31" i="1"/>
  <c r="O30" i="1"/>
  <c r="N30" i="1"/>
  <c r="M30" i="1"/>
  <c r="O29" i="1"/>
  <c r="N29" i="1"/>
  <c r="M29" i="1"/>
  <c r="O28" i="1"/>
  <c r="N28" i="1"/>
  <c r="M28" i="1"/>
  <c r="O27" i="1"/>
  <c r="N27" i="1"/>
  <c r="M27" i="1"/>
  <c r="O26" i="1"/>
  <c r="N26" i="1"/>
  <c r="M26" i="1"/>
  <c r="O25" i="1"/>
  <c r="N25" i="1"/>
  <c r="M25" i="1"/>
  <c r="O24" i="1"/>
  <c r="N24" i="1"/>
  <c r="M24" i="1"/>
  <c r="O23" i="1"/>
  <c r="N23" i="1"/>
  <c r="M23" i="1"/>
  <c r="O22" i="1"/>
  <c r="N22" i="1"/>
  <c r="M22" i="1"/>
  <c r="O21" i="1"/>
  <c r="N21" i="1"/>
  <c r="M21" i="1"/>
  <c r="O20" i="1"/>
  <c r="N20" i="1"/>
  <c r="M20" i="1"/>
  <c r="O19" i="1"/>
  <c r="N19" i="1"/>
  <c r="M19" i="1"/>
  <c r="O18" i="1"/>
  <c r="N18" i="1"/>
  <c r="M18" i="1"/>
  <c r="O17" i="1"/>
  <c r="N17" i="1"/>
  <c r="M17" i="1"/>
  <c r="O16" i="1"/>
  <c r="N16" i="1"/>
  <c r="M16" i="1"/>
  <c r="O15" i="1"/>
  <c r="N15" i="1"/>
  <c r="M15" i="1"/>
  <c r="O14" i="1"/>
  <c r="N14" i="1"/>
  <c r="M14" i="1"/>
  <c r="O13" i="1"/>
  <c r="N13" i="1"/>
  <c r="M13" i="1"/>
  <c r="O12" i="1"/>
  <c r="N12" i="1"/>
  <c r="M12" i="1"/>
  <c r="O11" i="1"/>
  <c r="N11" i="1"/>
  <c r="M11" i="1"/>
  <c r="O10" i="1"/>
  <c r="N10" i="1"/>
  <c r="M10" i="1"/>
  <c r="O9" i="1"/>
  <c r="N9" i="1"/>
  <c r="M9" i="1"/>
  <c r="O8" i="1"/>
  <c r="N8" i="1"/>
  <c r="M8" i="1"/>
  <c r="O7" i="1"/>
  <c r="N7" i="1"/>
  <c r="M7" i="1"/>
  <c r="O6" i="1"/>
  <c r="N6" i="1"/>
  <c r="M6" i="1"/>
  <c r="O5" i="1"/>
  <c r="N5" i="1"/>
  <c r="M5" i="1"/>
  <c r="O4" i="1"/>
  <c r="N4" i="1"/>
  <c r="M4" i="1"/>
  <c r="O3" i="1"/>
  <c r="N3" i="1"/>
  <c r="M3" i="1"/>
  <c r="O2" i="1"/>
  <c r="N2" i="1"/>
  <c r="M2" i="1"/>
  <c r="L48" i="1"/>
  <c r="O48" i="1" s="1"/>
  <c r="K48" i="1"/>
  <c r="N48" i="1" s="1"/>
  <c r="J48" i="1"/>
  <c r="N49" i="1" l="1"/>
  <c r="N51" i="1" s="1"/>
  <c r="L45" i="1"/>
  <c r="O45" i="1" s="1"/>
  <c r="K45" i="1"/>
  <c r="N45" i="1" s="1"/>
  <c r="J45" i="1"/>
  <c r="M45" i="1" s="1"/>
  <c r="L44" i="1"/>
  <c r="O44" i="1" s="1"/>
  <c r="O49" i="1" s="1"/>
  <c r="O51" i="1" s="1"/>
  <c r="K44" i="1"/>
  <c r="N44" i="1" s="1"/>
  <c r="J44" i="1"/>
  <c r="M44" i="1" s="1"/>
  <c r="M49" i="1" s="1"/>
  <c r="M51" i="1" s="1"/>
</calcChain>
</file>

<file path=xl/sharedStrings.xml><?xml version="1.0" encoding="utf-8"?>
<sst xmlns="http://schemas.openxmlformats.org/spreadsheetml/2006/main" count="132" uniqueCount="119">
  <si>
    <t>Item</t>
  </si>
  <si>
    <t>Qty</t>
  </si>
  <si>
    <t>Reference(s)</t>
  </si>
  <si>
    <t>Value</t>
  </si>
  <si>
    <t>Field4</t>
  </si>
  <si>
    <t>MPN</t>
  </si>
  <si>
    <t>MPN1</t>
  </si>
  <si>
    <t>Manufacturer</t>
  </si>
  <si>
    <t>Manufacturer1</t>
  </si>
  <si>
    <t>BZ1</t>
  </si>
  <si>
    <t>GT-0903A</t>
  </si>
  <si>
    <t>Soberton Inc.</t>
  </si>
  <si>
    <t>1uF</t>
  </si>
  <si>
    <t>100nF</t>
  </si>
  <si>
    <t>C5</t>
  </si>
  <si>
    <t>4.7nF</t>
  </si>
  <si>
    <t>C7</t>
  </si>
  <si>
    <t>10uF</t>
  </si>
  <si>
    <t>22uF</t>
  </si>
  <si>
    <t>C13</t>
  </si>
  <si>
    <t>330pF</t>
  </si>
  <si>
    <t>D1</t>
  </si>
  <si>
    <t>1N4148X</t>
  </si>
  <si>
    <t>1N4148X-TP</t>
  </si>
  <si>
    <t>Micro Commercial Co</t>
  </si>
  <si>
    <t>TSSE3U60H</t>
  </si>
  <si>
    <t>Taiwan Semiconductor Corporation</t>
  </si>
  <si>
    <t>PTVS24VU1UPA</t>
  </si>
  <si>
    <t xml:space="preserve">PTVS24VU1UPAZ </t>
  </si>
  <si>
    <t xml:space="preserve">Nexperia </t>
  </si>
  <si>
    <t>F1</t>
  </si>
  <si>
    <t>C2Q 250</t>
  </si>
  <si>
    <t>Bel Fuse Inc.</t>
  </si>
  <si>
    <t>J1</t>
  </si>
  <si>
    <t>EspressifMon</t>
  </si>
  <si>
    <t>PR20B03VBDN</t>
  </si>
  <si>
    <t>METZ CONNECT USA Inc.</t>
  </si>
  <si>
    <t>J10</t>
  </si>
  <si>
    <t>OQ0454510000G</t>
  </si>
  <si>
    <t>Amphenol Anytek</t>
  </si>
  <si>
    <t>L1</t>
  </si>
  <si>
    <t>SRF2012-221YA</t>
  </si>
  <si>
    <t>MCI-2012H-670-RU</t>
  </si>
  <si>
    <t>Bourns Inc.</t>
  </si>
  <si>
    <t>Mag Layers</t>
  </si>
  <si>
    <t>L2</t>
  </si>
  <si>
    <t>15uH</t>
  </si>
  <si>
    <t>MPL-SE2512-150</t>
  </si>
  <si>
    <t>Monolithic Power Systems Inc.</t>
  </si>
  <si>
    <t>LED1</t>
  </si>
  <si>
    <t>LED150505</t>
  </si>
  <si>
    <t>150505M173300</t>
  </si>
  <si>
    <t xml:space="preserve">WÃ¼rth Elektronik </t>
  </si>
  <si>
    <t>SA08-11EWA</t>
  </si>
  <si>
    <t>Kingbright</t>
  </si>
  <si>
    <t>NTZD3152PT1G</t>
  </si>
  <si>
    <t>onsemi</t>
  </si>
  <si>
    <t>Q2</t>
  </si>
  <si>
    <t>NX7002BKR</t>
  </si>
  <si>
    <t>Nexperia</t>
  </si>
  <si>
    <t>10K</t>
  </si>
  <si>
    <t>1K</t>
  </si>
  <si>
    <t>3K</t>
  </si>
  <si>
    <t>210K</t>
  </si>
  <si>
    <t>47.5K</t>
  </si>
  <si>
    <t>95.3K</t>
  </si>
  <si>
    <t>40.2K</t>
  </si>
  <si>
    <t>SW1</t>
  </si>
  <si>
    <t>CHS-02TA</t>
  </si>
  <si>
    <t>218-2LPSTJ</t>
  </si>
  <si>
    <t>CTS Electrocomponents</t>
  </si>
  <si>
    <t>SW2</t>
  </si>
  <si>
    <t>CHS-08TA</t>
  </si>
  <si>
    <t>218-8LPSTJ</t>
  </si>
  <si>
    <t>SW3</t>
  </si>
  <si>
    <t>CHS-04TA</t>
  </si>
  <si>
    <t>218-4LPSTJ</t>
  </si>
  <si>
    <t>U1</t>
  </si>
  <si>
    <t>TCM809</t>
  </si>
  <si>
    <t>APX809S05-29SA-7</t>
  </si>
  <si>
    <t>Diodes Incorporated</t>
  </si>
  <si>
    <t>U2</t>
  </si>
  <si>
    <t>ESP32-C3-MINI(P2L)</t>
  </si>
  <si>
    <t xml:space="preserve">ESP32-C3-MINI-1-N4 </t>
  </si>
  <si>
    <t>Espressif Systems</t>
  </si>
  <si>
    <t>U3</t>
  </si>
  <si>
    <t>TJA1042T</t>
  </si>
  <si>
    <t>TJA1042T/3,118</t>
  </si>
  <si>
    <t>NXP USA Inc.</t>
  </si>
  <si>
    <t>U4</t>
  </si>
  <si>
    <t>CAT4016HV6(P2L)</t>
  </si>
  <si>
    <t>CAT4016HV6-GT2</t>
  </si>
  <si>
    <t>U5</t>
  </si>
  <si>
    <t>XRA1403IL24-F</t>
  </si>
  <si>
    <t>MaxLinear, Inc.</t>
  </si>
  <si>
    <t>U6</t>
  </si>
  <si>
    <t>MP4559DN</t>
  </si>
  <si>
    <t>MP4559DN-LF-Z</t>
  </si>
  <si>
    <t>U7</t>
  </si>
  <si>
    <t>BD33IA5MEFJ-ME2</t>
  </si>
  <si>
    <t>Rohm Semiconductor</t>
  </si>
  <si>
    <t>C1, C3, C11, C12</t>
  </si>
  <si>
    <t>C2, C4, C6, C8</t>
  </si>
  <si>
    <t>C9, C10</t>
  </si>
  <si>
    <t>D2, D3</t>
  </si>
  <si>
    <t>D4, D5, D6, D7, D8, D9</t>
  </si>
  <si>
    <t>LED2, LED3, LED4</t>
  </si>
  <si>
    <t>Q1, Q3</t>
  </si>
  <si>
    <t>R1, R2, R3, R4</t>
  </si>
  <si>
    <t>R6, R7, R11, R12</t>
  </si>
  <si>
    <t>R9, R13</t>
  </si>
  <si>
    <t>R15, R16</t>
  </si>
  <si>
    <t>Plug1</t>
  </si>
  <si>
    <t>Enc1</t>
  </si>
  <si>
    <t>Lens1</t>
  </si>
  <si>
    <t>PCB</t>
  </si>
  <si>
    <t>Key</t>
  </si>
  <si>
    <t>Manu</t>
  </si>
  <si>
    <t>50v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</si>
</sst>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R&quot;\ #,##0;[Red]&quot;R&quot;\ \-#,##0"/>
    <numFmt numFmtId="164" formatCode="&quot;R&quot;\ #,##0.00"/>
    <numFmt numFmtId="165" formatCode="[$$-409]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left"/>
    </xf>
    <xf numFmtId="0" fontId="0" fillId="0" borderId="0" xfId="0" applyAlignment="1">
      <alignment horizontal="left"/>
    </xf>
    <xf numFmtId="6" fontId="0" fillId="0" borderId="0" xfId="0" applyNumberFormat="1" applyAlignment="1">
      <alignment horizontal="left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16" fillId="0" borderId="10" xfId="0" applyNumberFormat="1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1"/>
  <sheetViews>
    <sheetView tabSelected="1" topLeftCell="A13" workbookViewId="0">
      <selection activeCell="J44" sqref="J44"/>
    </sheetView>
  </sheetViews>
  <sheetFormatPr defaultRowHeight="15" x14ac:dyDescent="0.25"/>
  <cols>
    <col min="1" max="1" width="5.140625" bestFit="1" customWidth="1"/>
    <col min="2" max="2" width="4.140625" bestFit="1" customWidth="1"/>
    <col min="3" max="3" width="22.140625" style="3" bestFit="1" customWidth="1"/>
    <col min="4" max="4" width="18.7109375" style="3" bestFit="1" customWidth="1"/>
    <col min="5" max="5" width="6.42578125" bestFit="1" customWidth="1"/>
    <col min="6" max="6" width="19.5703125" bestFit="1" customWidth="1"/>
    <col min="7" max="7" width="17.5703125" bestFit="1" customWidth="1"/>
    <col min="8" max="8" width="32.7109375" bestFit="1" customWidth="1"/>
    <col min="9" max="9" width="14.28515625" bestFit="1" customWidth="1"/>
    <col min="10" max="15" width="9.140625" style="6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5">
        <v>10</v>
      </c>
      <c r="K1" s="5">
        <v>100</v>
      </c>
      <c r="L1" s="5">
        <v>1000</v>
      </c>
      <c r="M1" s="5">
        <v>10</v>
      </c>
      <c r="N1" s="5">
        <v>100</v>
      </c>
      <c r="O1" s="5">
        <v>1000</v>
      </c>
      <c r="T1">
        <v>15.5</v>
      </c>
    </row>
    <row r="2" spans="1:20" x14ac:dyDescent="0.25">
      <c r="A2">
        <v>1</v>
      </c>
      <c r="B2">
        <v>1</v>
      </c>
      <c r="C2" s="3" t="s">
        <v>9</v>
      </c>
      <c r="D2" s="3" t="s">
        <v>10</v>
      </c>
      <c r="F2" t="s">
        <v>10</v>
      </c>
      <c r="H2" t="s">
        <v>11</v>
      </c>
      <c r="J2" s="8">
        <v>0.79500000000000004</v>
      </c>
      <c r="K2" s="8">
        <v>0.65300000000000002</v>
      </c>
      <c r="L2" s="8">
        <v>0.52600000000000002</v>
      </c>
      <c r="M2" s="8">
        <f>J2*$B2</f>
        <v>0.79500000000000004</v>
      </c>
      <c r="N2" s="8">
        <f t="shared" ref="N2:O2" si="0">K2*$B2</f>
        <v>0.65300000000000002</v>
      </c>
      <c r="O2" s="8">
        <f t="shared" si="0"/>
        <v>0.52600000000000002</v>
      </c>
    </row>
    <row r="3" spans="1:20" x14ac:dyDescent="0.25">
      <c r="A3">
        <v>2</v>
      </c>
      <c r="B3">
        <v>4</v>
      </c>
      <c r="C3" s="3" t="s">
        <v>101</v>
      </c>
      <c r="D3" s="3" t="s">
        <v>12</v>
      </c>
      <c r="J3" s="8">
        <v>7.0000000000000007E-2</v>
      </c>
      <c r="K3" s="8">
        <v>5.6000000000000001E-2</v>
      </c>
      <c r="L3" s="8">
        <v>3.7999999999999999E-2</v>
      </c>
      <c r="M3" s="8">
        <f t="shared" ref="M3:M48" si="1">J3*$B3</f>
        <v>0.28000000000000003</v>
      </c>
      <c r="N3" s="8">
        <f t="shared" ref="N3:N48" si="2">K3*$B3</f>
        <v>0.224</v>
      </c>
      <c r="O3" s="8">
        <f t="shared" ref="O3:O48" si="3">L3*$B3</f>
        <v>0.152</v>
      </c>
    </row>
    <row r="4" spans="1:20" x14ac:dyDescent="0.25">
      <c r="A4">
        <v>3</v>
      </c>
      <c r="B4">
        <v>4</v>
      </c>
      <c r="C4" s="3" t="s">
        <v>102</v>
      </c>
      <c r="D4" s="3" t="s">
        <v>13</v>
      </c>
      <c r="J4" s="8">
        <v>2.5000000000000001E-2</v>
      </c>
      <c r="K4" s="8">
        <v>1.2999999999999999E-2</v>
      </c>
      <c r="L4" s="8">
        <v>7.0000000000000001E-3</v>
      </c>
      <c r="M4" s="8">
        <f t="shared" si="1"/>
        <v>0.1</v>
      </c>
      <c r="N4" s="8">
        <f t="shared" si="2"/>
        <v>5.1999999999999998E-2</v>
      </c>
      <c r="O4" s="8">
        <f t="shared" si="3"/>
        <v>2.8000000000000001E-2</v>
      </c>
    </row>
    <row r="5" spans="1:20" x14ac:dyDescent="0.25">
      <c r="A5">
        <v>4</v>
      </c>
      <c r="B5">
        <v>1</v>
      </c>
      <c r="C5" s="3" t="s">
        <v>14</v>
      </c>
      <c r="D5" s="3" t="s">
        <v>15</v>
      </c>
      <c r="E5" t="s">
        <v>118</v>
      </c>
      <c r="J5" s="8">
        <v>0.08</v>
      </c>
      <c r="K5" s="8">
        <v>3.7999999999999999E-2</v>
      </c>
      <c r="L5" s="8">
        <v>2.7E-2</v>
      </c>
      <c r="M5" s="8">
        <f t="shared" si="1"/>
        <v>0.08</v>
      </c>
      <c r="N5" s="8">
        <f t="shared" si="2"/>
        <v>3.7999999999999999E-2</v>
      </c>
      <c r="O5" s="8">
        <f t="shared" si="3"/>
        <v>2.7E-2</v>
      </c>
    </row>
    <row r="6" spans="1:20" x14ac:dyDescent="0.25">
      <c r="A6">
        <v>5</v>
      </c>
      <c r="B6">
        <v>1</v>
      </c>
      <c r="C6" s="3" t="s">
        <v>16</v>
      </c>
      <c r="D6" s="3" t="s">
        <v>17</v>
      </c>
      <c r="E6" t="s">
        <v>118</v>
      </c>
      <c r="J6" s="8">
        <v>0.215</v>
      </c>
      <c r="K6" s="8">
        <v>0.123</v>
      </c>
      <c r="L6" s="8">
        <v>8.5999999999999993E-2</v>
      </c>
      <c r="M6" s="8">
        <f t="shared" si="1"/>
        <v>0.215</v>
      </c>
      <c r="N6" s="8">
        <f t="shared" si="2"/>
        <v>0.123</v>
      </c>
      <c r="O6" s="8">
        <f t="shared" si="3"/>
        <v>8.5999999999999993E-2</v>
      </c>
    </row>
    <row r="7" spans="1:20" x14ac:dyDescent="0.25">
      <c r="A7">
        <v>6</v>
      </c>
      <c r="B7">
        <v>2</v>
      </c>
      <c r="C7" s="3" t="s">
        <v>103</v>
      </c>
      <c r="D7" s="3" t="s">
        <v>18</v>
      </c>
      <c r="J7" s="8">
        <v>0.183</v>
      </c>
      <c r="K7" s="8">
        <v>0.105</v>
      </c>
      <c r="L7" s="8">
        <v>7.2999999999999995E-2</v>
      </c>
      <c r="M7" s="8">
        <f t="shared" si="1"/>
        <v>0.36599999999999999</v>
      </c>
      <c r="N7" s="8">
        <f t="shared" si="2"/>
        <v>0.21</v>
      </c>
      <c r="O7" s="8">
        <f t="shared" si="3"/>
        <v>0.14599999999999999</v>
      </c>
    </row>
    <row r="8" spans="1:20" x14ac:dyDescent="0.25">
      <c r="A8">
        <v>7</v>
      </c>
      <c r="B8">
        <v>1</v>
      </c>
      <c r="C8" s="3" t="s">
        <v>19</v>
      </c>
      <c r="D8" s="3" t="s">
        <v>20</v>
      </c>
      <c r="J8" s="8">
        <v>6.2E-2</v>
      </c>
      <c r="K8" s="8">
        <v>2.7E-2</v>
      </c>
      <c r="L8" s="8">
        <v>1.7000000000000001E-2</v>
      </c>
      <c r="M8" s="8">
        <f t="shared" si="1"/>
        <v>6.2E-2</v>
      </c>
      <c r="N8" s="8">
        <f t="shared" si="2"/>
        <v>2.7E-2</v>
      </c>
      <c r="O8" s="8">
        <f t="shared" si="3"/>
        <v>1.7000000000000001E-2</v>
      </c>
    </row>
    <row r="9" spans="1:20" x14ac:dyDescent="0.25">
      <c r="A9">
        <v>8</v>
      </c>
      <c r="B9">
        <v>1</v>
      </c>
      <c r="C9" s="3" t="s">
        <v>21</v>
      </c>
      <c r="D9" s="3" t="s">
        <v>22</v>
      </c>
      <c r="F9" t="s">
        <v>23</v>
      </c>
      <c r="H9" t="s">
        <v>24</v>
      </c>
      <c r="J9" s="8">
        <v>0.17199999999999999</v>
      </c>
      <c r="K9" s="8">
        <v>9.4E-2</v>
      </c>
      <c r="L9" s="8">
        <v>0.04</v>
      </c>
      <c r="M9" s="8">
        <f t="shared" si="1"/>
        <v>0.17199999999999999</v>
      </c>
      <c r="N9" s="8">
        <f t="shared" si="2"/>
        <v>9.4E-2</v>
      </c>
      <c r="O9" s="8">
        <f t="shared" si="3"/>
        <v>0.04</v>
      </c>
    </row>
    <row r="10" spans="1:20" x14ac:dyDescent="0.25">
      <c r="A10">
        <v>9</v>
      </c>
      <c r="B10">
        <v>2</v>
      </c>
      <c r="C10" s="3" t="s">
        <v>104</v>
      </c>
      <c r="D10" s="3" t="s">
        <v>25</v>
      </c>
      <c r="F10" t="s">
        <v>25</v>
      </c>
      <c r="H10" t="s">
        <v>26</v>
      </c>
      <c r="J10" s="8">
        <v>0.86899999999999999</v>
      </c>
      <c r="K10" s="8">
        <v>0.66700000000000004</v>
      </c>
      <c r="L10" s="8">
        <v>0.42199999999999999</v>
      </c>
      <c r="M10" s="8">
        <f t="shared" si="1"/>
        <v>1.738</v>
      </c>
      <c r="N10" s="8">
        <f t="shared" si="2"/>
        <v>1.3340000000000001</v>
      </c>
      <c r="O10" s="8">
        <f t="shared" si="3"/>
        <v>0.84399999999999997</v>
      </c>
    </row>
    <row r="11" spans="1:20" x14ac:dyDescent="0.25">
      <c r="A11">
        <v>10</v>
      </c>
      <c r="B11">
        <v>6</v>
      </c>
      <c r="C11" s="3" t="s">
        <v>105</v>
      </c>
      <c r="D11" s="3" t="s">
        <v>27</v>
      </c>
      <c r="F11" t="s">
        <v>28</v>
      </c>
      <c r="H11" t="s">
        <v>29</v>
      </c>
      <c r="J11" s="8">
        <v>0.13300000000000001</v>
      </c>
      <c r="K11" s="8">
        <v>0.123</v>
      </c>
      <c r="L11" s="8">
        <v>9.7000000000000003E-2</v>
      </c>
      <c r="M11" s="8">
        <f t="shared" si="1"/>
        <v>0.79800000000000004</v>
      </c>
      <c r="N11" s="8">
        <f t="shared" si="2"/>
        <v>0.73799999999999999</v>
      </c>
      <c r="O11" s="8">
        <f t="shared" si="3"/>
        <v>0.58200000000000007</v>
      </c>
    </row>
    <row r="12" spans="1:20" x14ac:dyDescent="0.25">
      <c r="A12">
        <v>11</v>
      </c>
      <c r="B12">
        <v>1</v>
      </c>
      <c r="C12" s="3" t="s">
        <v>30</v>
      </c>
      <c r="D12" s="3">
        <v>0.25</v>
      </c>
      <c r="F12" t="s">
        <v>31</v>
      </c>
      <c r="H12" t="s">
        <v>32</v>
      </c>
      <c r="J12" s="8">
        <v>0.219</v>
      </c>
      <c r="K12" s="8">
        <v>0.182</v>
      </c>
      <c r="L12" s="8">
        <v>0.14099999999999999</v>
      </c>
      <c r="M12" s="8">
        <f t="shared" si="1"/>
        <v>0.219</v>
      </c>
      <c r="N12" s="8">
        <f t="shared" si="2"/>
        <v>0.182</v>
      </c>
      <c r="O12" s="8">
        <f t="shared" si="3"/>
        <v>0.14099999999999999</v>
      </c>
    </row>
    <row r="13" spans="1:20" x14ac:dyDescent="0.25">
      <c r="A13">
        <v>13</v>
      </c>
      <c r="B13">
        <v>1</v>
      </c>
      <c r="C13" s="3" t="s">
        <v>33</v>
      </c>
      <c r="D13" s="3" t="s">
        <v>34</v>
      </c>
      <c r="F13" t="s">
        <v>35</v>
      </c>
      <c r="H13" t="s">
        <v>36</v>
      </c>
      <c r="J13" s="8">
        <v>0.247</v>
      </c>
      <c r="K13" s="8">
        <v>0.192</v>
      </c>
      <c r="L13" s="8">
        <v>0.13700000000000001</v>
      </c>
      <c r="M13" s="8">
        <f t="shared" si="1"/>
        <v>0.247</v>
      </c>
      <c r="N13" s="8">
        <f t="shared" si="2"/>
        <v>0.192</v>
      </c>
      <c r="O13" s="8">
        <f t="shared" si="3"/>
        <v>0.13700000000000001</v>
      </c>
    </row>
    <row r="14" spans="1:20" x14ac:dyDescent="0.25">
      <c r="A14">
        <v>15</v>
      </c>
      <c r="B14">
        <v>1</v>
      </c>
      <c r="C14" s="3" t="s">
        <v>37</v>
      </c>
      <c r="D14" s="3">
        <v>1757268</v>
      </c>
      <c r="F14" t="s">
        <v>38</v>
      </c>
      <c r="H14" t="s">
        <v>39</v>
      </c>
      <c r="J14" s="8">
        <v>0.35299999999999998</v>
      </c>
      <c r="K14" s="8">
        <v>0.30599999999999999</v>
      </c>
      <c r="L14" s="8">
        <v>0.246</v>
      </c>
      <c r="M14" s="8">
        <f t="shared" si="1"/>
        <v>0.35299999999999998</v>
      </c>
      <c r="N14" s="8">
        <f t="shared" si="2"/>
        <v>0.30599999999999999</v>
      </c>
      <c r="O14" s="8">
        <f t="shared" si="3"/>
        <v>0.246</v>
      </c>
    </row>
    <row r="15" spans="1:20" x14ac:dyDescent="0.25">
      <c r="A15">
        <v>16</v>
      </c>
      <c r="B15">
        <v>1</v>
      </c>
      <c r="C15" s="3" t="s">
        <v>40</v>
      </c>
      <c r="D15" s="3" t="s">
        <v>41</v>
      </c>
      <c r="F15" t="s">
        <v>41</v>
      </c>
      <c r="G15" t="s">
        <v>42</v>
      </c>
      <c r="H15" t="s">
        <v>43</v>
      </c>
      <c r="I15" t="s">
        <v>44</v>
      </c>
      <c r="J15" s="8">
        <v>0.28699999999999998</v>
      </c>
      <c r="K15" s="8">
        <v>0.24</v>
      </c>
      <c r="L15" s="8">
        <v>0.17299999999999999</v>
      </c>
      <c r="M15" s="8">
        <f t="shared" si="1"/>
        <v>0.28699999999999998</v>
      </c>
      <c r="N15" s="8">
        <f t="shared" si="2"/>
        <v>0.24</v>
      </c>
      <c r="O15" s="8">
        <f t="shared" si="3"/>
        <v>0.17299999999999999</v>
      </c>
    </row>
    <row r="16" spans="1:20" x14ac:dyDescent="0.25">
      <c r="A16">
        <v>17</v>
      </c>
      <c r="B16">
        <v>1</v>
      </c>
      <c r="C16" s="3" t="s">
        <v>45</v>
      </c>
      <c r="D16" s="3" t="s">
        <v>46</v>
      </c>
      <c r="F16" t="s">
        <v>47</v>
      </c>
      <c r="H16" t="s">
        <v>48</v>
      </c>
      <c r="J16" s="8">
        <v>0.40699999999999997</v>
      </c>
      <c r="K16" s="8">
        <v>0.32500000000000001</v>
      </c>
      <c r="L16" s="8">
        <v>0.221</v>
      </c>
      <c r="M16" s="8">
        <f t="shared" si="1"/>
        <v>0.40699999999999997</v>
      </c>
      <c r="N16" s="8">
        <f t="shared" si="2"/>
        <v>0.32500000000000001</v>
      </c>
      <c r="O16" s="8">
        <f t="shared" si="3"/>
        <v>0.221</v>
      </c>
    </row>
    <row r="17" spans="1:15" x14ac:dyDescent="0.25">
      <c r="A17">
        <v>18</v>
      </c>
      <c r="B17">
        <v>1</v>
      </c>
      <c r="C17" s="3" t="s">
        <v>49</v>
      </c>
      <c r="D17" s="3" t="s">
        <v>50</v>
      </c>
      <c r="F17" t="s">
        <v>51</v>
      </c>
      <c r="H17" t="s">
        <v>52</v>
      </c>
      <c r="J17" s="8">
        <v>0.53500000000000003</v>
      </c>
      <c r="K17" s="8">
        <v>0.48299999999999998</v>
      </c>
      <c r="L17" s="8">
        <v>0.32500000000000001</v>
      </c>
      <c r="M17" s="8">
        <f t="shared" si="1"/>
        <v>0.53500000000000003</v>
      </c>
      <c r="N17" s="8">
        <f t="shared" si="2"/>
        <v>0.48299999999999998</v>
      </c>
      <c r="O17" s="8">
        <f t="shared" si="3"/>
        <v>0.32500000000000001</v>
      </c>
    </row>
    <row r="18" spans="1:15" x14ac:dyDescent="0.25">
      <c r="A18">
        <v>19</v>
      </c>
      <c r="B18">
        <v>3</v>
      </c>
      <c r="C18" s="3" t="s">
        <v>106</v>
      </c>
      <c r="D18" s="3" t="s">
        <v>53</v>
      </c>
      <c r="F18" t="s">
        <v>53</v>
      </c>
      <c r="H18" t="s">
        <v>54</v>
      </c>
      <c r="J18" s="8">
        <v>0.48399999999999999</v>
      </c>
      <c r="K18" s="8">
        <v>0.374</v>
      </c>
      <c r="L18" s="8">
        <v>0.31900000000000001</v>
      </c>
      <c r="M18" s="8">
        <f t="shared" si="1"/>
        <v>1.452</v>
      </c>
      <c r="N18" s="8">
        <f t="shared" si="2"/>
        <v>1.1219999999999999</v>
      </c>
      <c r="O18" s="8">
        <f t="shared" si="3"/>
        <v>0.95700000000000007</v>
      </c>
    </row>
    <row r="19" spans="1:15" x14ac:dyDescent="0.25">
      <c r="A19">
        <v>20</v>
      </c>
      <c r="B19">
        <v>2</v>
      </c>
      <c r="C19" s="3" t="s">
        <v>107</v>
      </c>
      <c r="D19" s="3" t="s">
        <v>55</v>
      </c>
      <c r="F19" t="s">
        <v>55</v>
      </c>
      <c r="H19" t="s">
        <v>56</v>
      </c>
      <c r="J19" s="8">
        <v>0.35699999999999998</v>
      </c>
      <c r="K19" s="8">
        <v>0.222</v>
      </c>
      <c r="L19" s="8">
        <v>0.11700000000000001</v>
      </c>
      <c r="M19" s="8">
        <f t="shared" si="1"/>
        <v>0.71399999999999997</v>
      </c>
      <c r="N19" s="8">
        <f t="shared" si="2"/>
        <v>0.44400000000000001</v>
      </c>
      <c r="O19" s="8">
        <f t="shared" si="3"/>
        <v>0.23400000000000001</v>
      </c>
    </row>
    <row r="20" spans="1:15" x14ac:dyDescent="0.25">
      <c r="A20">
        <v>21</v>
      </c>
      <c r="B20">
        <v>1</v>
      </c>
      <c r="C20" s="3" t="s">
        <v>57</v>
      </c>
      <c r="D20" s="3" t="s">
        <v>58</v>
      </c>
      <c r="F20" t="s">
        <v>58</v>
      </c>
      <c r="H20" t="s">
        <v>59</v>
      </c>
      <c r="J20" s="8">
        <v>0.20899999999999999</v>
      </c>
      <c r="K20" s="8">
        <v>0.114</v>
      </c>
      <c r="L20" s="8">
        <v>4.8000000000000001E-2</v>
      </c>
      <c r="M20" s="8">
        <f t="shared" si="1"/>
        <v>0.20899999999999999</v>
      </c>
      <c r="N20" s="8">
        <f t="shared" si="2"/>
        <v>0.114</v>
      </c>
      <c r="O20" s="8">
        <f t="shared" si="3"/>
        <v>4.8000000000000001E-2</v>
      </c>
    </row>
    <row r="21" spans="1:15" x14ac:dyDescent="0.25">
      <c r="A21">
        <v>22</v>
      </c>
      <c r="B21">
        <v>4</v>
      </c>
      <c r="C21" s="3" t="s">
        <v>108</v>
      </c>
      <c r="D21" s="3">
        <v>162</v>
      </c>
      <c r="J21" s="8">
        <v>4.1000000000000002E-2</v>
      </c>
      <c r="K21" s="8">
        <v>1.6E-2</v>
      </c>
      <c r="L21" s="8">
        <v>8.0000000000000002E-3</v>
      </c>
      <c r="M21" s="8">
        <f t="shared" si="1"/>
        <v>0.16400000000000001</v>
      </c>
      <c r="N21" s="8">
        <f t="shared" si="2"/>
        <v>6.4000000000000001E-2</v>
      </c>
      <c r="O21" s="8">
        <f t="shared" si="3"/>
        <v>3.2000000000000001E-2</v>
      </c>
    </row>
    <row r="22" spans="1:15" x14ac:dyDescent="0.25">
      <c r="A22">
        <v>23</v>
      </c>
      <c r="B22">
        <v>1</v>
      </c>
      <c r="C22" s="4">
        <v>5</v>
      </c>
      <c r="D22" s="3">
        <v>0</v>
      </c>
      <c r="J22" s="8">
        <v>4.1000000000000002E-2</v>
      </c>
      <c r="K22" s="8">
        <v>1.6E-2</v>
      </c>
      <c r="L22" s="8">
        <v>8.0000000000000002E-3</v>
      </c>
      <c r="M22" s="8">
        <f t="shared" si="1"/>
        <v>4.1000000000000002E-2</v>
      </c>
      <c r="N22" s="8">
        <f t="shared" si="2"/>
        <v>1.6E-2</v>
      </c>
      <c r="O22" s="8">
        <f t="shared" si="3"/>
        <v>8.0000000000000002E-3</v>
      </c>
    </row>
    <row r="23" spans="1:15" x14ac:dyDescent="0.25">
      <c r="A23">
        <v>24</v>
      </c>
      <c r="B23">
        <v>4</v>
      </c>
      <c r="C23" s="3" t="s">
        <v>109</v>
      </c>
      <c r="D23" s="3">
        <v>56</v>
      </c>
      <c r="J23" s="8">
        <v>4.1000000000000002E-2</v>
      </c>
      <c r="K23" s="8">
        <v>1.6E-2</v>
      </c>
      <c r="L23" s="8">
        <v>8.0000000000000002E-3</v>
      </c>
      <c r="M23" s="8">
        <f t="shared" si="1"/>
        <v>0.16400000000000001</v>
      </c>
      <c r="N23" s="8">
        <f t="shared" si="2"/>
        <v>6.4000000000000001E-2</v>
      </c>
      <c r="O23" s="8">
        <f t="shared" si="3"/>
        <v>3.2000000000000001E-2</v>
      </c>
    </row>
    <row r="24" spans="1:15" x14ac:dyDescent="0.25">
      <c r="A24">
        <v>25</v>
      </c>
      <c r="B24">
        <v>1</v>
      </c>
      <c r="C24" s="4">
        <v>8</v>
      </c>
      <c r="D24" s="3">
        <v>100</v>
      </c>
      <c r="J24" s="8">
        <v>4.1000000000000002E-2</v>
      </c>
      <c r="K24" s="8">
        <v>1.6E-2</v>
      </c>
      <c r="L24" s="8">
        <v>8.0000000000000002E-3</v>
      </c>
      <c r="M24" s="8">
        <f t="shared" si="1"/>
        <v>4.1000000000000002E-2</v>
      </c>
      <c r="N24" s="8">
        <f t="shared" si="2"/>
        <v>1.6E-2</v>
      </c>
      <c r="O24" s="8">
        <f t="shared" si="3"/>
        <v>8.0000000000000002E-3</v>
      </c>
    </row>
    <row r="25" spans="1:15" x14ac:dyDescent="0.25">
      <c r="A25">
        <v>26</v>
      </c>
      <c r="B25">
        <v>2</v>
      </c>
      <c r="C25" s="3" t="s">
        <v>110</v>
      </c>
      <c r="D25" s="3" t="s">
        <v>60</v>
      </c>
      <c r="J25" s="8">
        <v>4.1000000000000002E-2</v>
      </c>
      <c r="K25" s="8">
        <v>1.6E-2</v>
      </c>
      <c r="L25" s="8">
        <v>8.0000000000000002E-3</v>
      </c>
      <c r="M25" s="8">
        <f t="shared" si="1"/>
        <v>8.2000000000000003E-2</v>
      </c>
      <c r="N25" s="8">
        <f t="shared" si="2"/>
        <v>3.2000000000000001E-2</v>
      </c>
      <c r="O25" s="8">
        <f t="shared" si="3"/>
        <v>1.6E-2</v>
      </c>
    </row>
    <row r="26" spans="1:15" x14ac:dyDescent="0.25">
      <c r="A26">
        <v>27</v>
      </c>
      <c r="B26">
        <v>1</v>
      </c>
      <c r="C26" s="4">
        <v>10</v>
      </c>
      <c r="D26" s="3" t="s">
        <v>61</v>
      </c>
      <c r="J26" s="8">
        <v>4.1000000000000002E-2</v>
      </c>
      <c r="K26" s="8">
        <v>1.6E-2</v>
      </c>
      <c r="L26" s="8">
        <v>8.0000000000000002E-3</v>
      </c>
      <c r="M26" s="8">
        <f t="shared" si="1"/>
        <v>4.1000000000000002E-2</v>
      </c>
      <c r="N26" s="8">
        <f t="shared" si="2"/>
        <v>1.6E-2</v>
      </c>
      <c r="O26" s="8">
        <f t="shared" si="3"/>
        <v>8.0000000000000002E-3</v>
      </c>
    </row>
    <row r="27" spans="1:15" x14ac:dyDescent="0.25">
      <c r="A27">
        <v>28</v>
      </c>
      <c r="B27">
        <v>1</v>
      </c>
      <c r="C27" s="4">
        <v>14</v>
      </c>
      <c r="D27" s="3" t="s">
        <v>62</v>
      </c>
      <c r="J27" s="8">
        <v>4.1000000000000002E-2</v>
      </c>
      <c r="K27" s="8">
        <v>1.6E-2</v>
      </c>
      <c r="L27" s="8">
        <v>8.0000000000000002E-3</v>
      </c>
      <c r="M27" s="8">
        <f t="shared" si="1"/>
        <v>4.1000000000000002E-2</v>
      </c>
      <c r="N27" s="8">
        <f t="shared" si="2"/>
        <v>1.6E-2</v>
      </c>
      <c r="O27" s="8">
        <f t="shared" si="3"/>
        <v>8.0000000000000002E-3</v>
      </c>
    </row>
    <row r="28" spans="1:15" x14ac:dyDescent="0.25">
      <c r="A28">
        <v>29</v>
      </c>
      <c r="B28">
        <v>2</v>
      </c>
      <c r="C28" s="3" t="s">
        <v>111</v>
      </c>
      <c r="D28" s="3">
        <v>60</v>
      </c>
      <c r="J28" s="8">
        <v>4.1000000000000002E-2</v>
      </c>
      <c r="K28" s="8">
        <v>1.6E-2</v>
      </c>
      <c r="L28" s="8">
        <v>8.0000000000000002E-3</v>
      </c>
      <c r="M28" s="8">
        <f t="shared" si="1"/>
        <v>8.2000000000000003E-2</v>
      </c>
      <c r="N28" s="8">
        <f t="shared" si="2"/>
        <v>3.2000000000000001E-2</v>
      </c>
      <c r="O28" s="8">
        <f t="shared" si="3"/>
        <v>1.6E-2</v>
      </c>
    </row>
    <row r="29" spans="1:15" x14ac:dyDescent="0.25">
      <c r="A29">
        <v>30</v>
      </c>
      <c r="B29">
        <v>1</v>
      </c>
      <c r="C29" s="4">
        <v>17</v>
      </c>
      <c r="D29" s="3" t="s">
        <v>63</v>
      </c>
      <c r="J29" s="8">
        <v>4.1000000000000002E-2</v>
      </c>
      <c r="K29" s="8">
        <v>1.6E-2</v>
      </c>
      <c r="L29" s="8">
        <v>8.0000000000000002E-3</v>
      </c>
      <c r="M29" s="8">
        <f t="shared" si="1"/>
        <v>4.1000000000000002E-2</v>
      </c>
      <c r="N29" s="8">
        <f t="shared" si="2"/>
        <v>1.6E-2</v>
      </c>
      <c r="O29" s="8">
        <f t="shared" si="3"/>
        <v>8.0000000000000002E-3</v>
      </c>
    </row>
    <row r="30" spans="1:15" x14ac:dyDescent="0.25">
      <c r="A30">
        <v>31</v>
      </c>
      <c r="B30">
        <v>1</v>
      </c>
      <c r="C30" s="4">
        <v>18</v>
      </c>
      <c r="D30" s="3" t="s">
        <v>64</v>
      </c>
      <c r="J30" s="8">
        <v>4.1000000000000002E-2</v>
      </c>
      <c r="K30" s="8">
        <v>1.6E-2</v>
      </c>
      <c r="L30" s="8">
        <v>8.0000000000000002E-3</v>
      </c>
      <c r="M30" s="8">
        <f t="shared" si="1"/>
        <v>4.1000000000000002E-2</v>
      </c>
      <c r="N30" s="8">
        <f t="shared" si="2"/>
        <v>1.6E-2</v>
      </c>
      <c r="O30" s="8">
        <f t="shared" si="3"/>
        <v>8.0000000000000002E-3</v>
      </c>
    </row>
    <row r="31" spans="1:15" x14ac:dyDescent="0.25">
      <c r="A31">
        <v>32</v>
      </c>
      <c r="B31">
        <v>1</v>
      </c>
      <c r="C31" s="4">
        <v>19</v>
      </c>
      <c r="D31" s="3" t="s">
        <v>65</v>
      </c>
      <c r="J31" s="8">
        <v>4.1000000000000002E-2</v>
      </c>
      <c r="K31" s="8">
        <v>1.6E-2</v>
      </c>
      <c r="L31" s="8">
        <v>8.0000000000000002E-3</v>
      </c>
      <c r="M31" s="8">
        <f t="shared" si="1"/>
        <v>4.1000000000000002E-2</v>
      </c>
      <c r="N31" s="8">
        <f t="shared" si="2"/>
        <v>1.6E-2</v>
      </c>
      <c r="O31" s="8">
        <f t="shared" si="3"/>
        <v>8.0000000000000002E-3</v>
      </c>
    </row>
    <row r="32" spans="1:15" x14ac:dyDescent="0.25">
      <c r="A32">
        <v>33</v>
      </c>
      <c r="B32">
        <v>1</v>
      </c>
      <c r="C32" s="4">
        <v>20</v>
      </c>
      <c r="D32" s="3" t="s">
        <v>66</v>
      </c>
      <c r="J32" s="8">
        <v>4.1000000000000002E-2</v>
      </c>
      <c r="K32" s="8">
        <v>1.6E-2</v>
      </c>
      <c r="L32" s="8">
        <v>8.0000000000000002E-3</v>
      </c>
      <c r="M32" s="8">
        <f t="shared" si="1"/>
        <v>4.1000000000000002E-2</v>
      </c>
      <c r="N32" s="8">
        <f t="shared" si="2"/>
        <v>1.6E-2</v>
      </c>
      <c r="O32" s="8">
        <f t="shared" si="3"/>
        <v>8.0000000000000002E-3</v>
      </c>
    </row>
    <row r="33" spans="1:15" x14ac:dyDescent="0.25">
      <c r="A33">
        <v>34</v>
      </c>
      <c r="B33">
        <v>1</v>
      </c>
      <c r="C33" s="3" t="s">
        <v>67</v>
      </c>
      <c r="D33" s="3" t="s">
        <v>68</v>
      </c>
      <c r="F33" t="s">
        <v>69</v>
      </c>
      <c r="H33" t="s">
        <v>70</v>
      </c>
      <c r="J33" s="8">
        <v>1.06</v>
      </c>
      <c r="K33" s="8">
        <v>0.90600000000000003</v>
      </c>
      <c r="L33" s="8">
        <v>0.77</v>
      </c>
      <c r="M33" s="8">
        <f t="shared" si="1"/>
        <v>1.06</v>
      </c>
      <c r="N33" s="8">
        <f t="shared" si="2"/>
        <v>0.90600000000000003</v>
      </c>
      <c r="O33" s="8">
        <f t="shared" si="3"/>
        <v>0.77</v>
      </c>
    </row>
    <row r="34" spans="1:15" x14ac:dyDescent="0.25">
      <c r="A34">
        <v>35</v>
      </c>
      <c r="B34">
        <v>1</v>
      </c>
      <c r="C34" s="3" t="s">
        <v>71</v>
      </c>
      <c r="D34" s="3" t="s">
        <v>72</v>
      </c>
      <c r="F34" t="s">
        <v>73</v>
      </c>
      <c r="H34" t="s">
        <v>70</v>
      </c>
      <c r="J34" s="8">
        <v>1.54</v>
      </c>
      <c r="K34" s="8">
        <v>1.32</v>
      </c>
      <c r="L34" s="8">
        <v>1.04</v>
      </c>
      <c r="M34" s="8">
        <f t="shared" si="1"/>
        <v>1.54</v>
      </c>
      <c r="N34" s="8">
        <f t="shared" si="2"/>
        <v>1.32</v>
      </c>
      <c r="O34" s="8">
        <f t="shared" si="3"/>
        <v>1.04</v>
      </c>
    </row>
    <row r="35" spans="1:15" x14ac:dyDescent="0.25">
      <c r="A35">
        <v>36</v>
      </c>
      <c r="B35">
        <v>1</v>
      </c>
      <c r="C35" s="3" t="s">
        <v>74</v>
      </c>
      <c r="D35" s="3" t="s">
        <v>75</v>
      </c>
      <c r="F35" t="s">
        <v>76</v>
      </c>
      <c r="H35" t="s">
        <v>70</v>
      </c>
      <c r="J35" s="8">
        <v>1.21</v>
      </c>
      <c r="K35" s="8">
        <v>1</v>
      </c>
      <c r="L35" s="8">
        <v>0.81899999999999995</v>
      </c>
      <c r="M35" s="8">
        <f t="shared" si="1"/>
        <v>1.21</v>
      </c>
      <c r="N35" s="8">
        <f t="shared" si="2"/>
        <v>1</v>
      </c>
      <c r="O35" s="8">
        <f t="shared" si="3"/>
        <v>0.81899999999999995</v>
      </c>
    </row>
    <row r="36" spans="1:15" x14ac:dyDescent="0.25">
      <c r="A36">
        <v>37</v>
      </c>
      <c r="B36">
        <v>1</v>
      </c>
      <c r="C36" s="3" t="s">
        <v>77</v>
      </c>
      <c r="D36" s="3" t="s">
        <v>78</v>
      </c>
      <c r="F36" t="s">
        <v>79</v>
      </c>
      <c r="H36" t="s">
        <v>80</v>
      </c>
      <c r="J36" s="8">
        <v>0.376</v>
      </c>
      <c r="K36" s="8">
        <v>0.30499999999999999</v>
      </c>
      <c r="L36" s="8">
        <v>0.247</v>
      </c>
      <c r="M36" s="8">
        <f t="shared" si="1"/>
        <v>0.376</v>
      </c>
      <c r="N36" s="8">
        <f t="shared" si="2"/>
        <v>0.30499999999999999</v>
      </c>
      <c r="O36" s="8">
        <f t="shared" si="3"/>
        <v>0.247</v>
      </c>
    </row>
    <row r="37" spans="1:15" x14ac:dyDescent="0.25">
      <c r="A37">
        <v>38</v>
      </c>
      <c r="B37">
        <v>1</v>
      </c>
      <c r="C37" s="3" t="s">
        <v>81</v>
      </c>
      <c r="D37" s="3" t="s">
        <v>82</v>
      </c>
      <c r="F37" t="s">
        <v>83</v>
      </c>
      <c r="H37" t="s">
        <v>84</v>
      </c>
      <c r="J37" s="8">
        <v>1.88</v>
      </c>
      <c r="K37" s="8">
        <v>1.88</v>
      </c>
      <c r="L37" s="8">
        <v>1.88</v>
      </c>
      <c r="M37" s="8">
        <f t="shared" si="1"/>
        <v>1.88</v>
      </c>
      <c r="N37" s="8">
        <f t="shared" si="2"/>
        <v>1.88</v>
      </c>
      <c r="O37" s="8">
        <f t="shared" si="3"/>
        <v>1.88</v>
      </c>
    </row>
    <row r="38" spans="1:15" x14ac:dyDescent="0.25">
      <c r="A38">
        <v>39</v>
      </c>
      <c r="B38">
        <v>1</v>
      </c>
      <c r="C38" s="3" t="s">
        <v>85</v>
      </c>
      <c r="D38" s="3" t="s">
        <v>86</v>
      </c>
      <c r="F38" t="s">
        <v>87</v>
      </c>
      <c r="H38" t="s">
        <v>88</v>
      </c>
      <c r="J38" s="8">
        <v>1.534</v>
      </c>
      <c r="K38" s="8">
        <v>1.411</v>
      </c>
      <c r="L38" s="8">
        <v>1.411</v>
      </c>
      <c r="M38" s="8">
        <f t="shared" si="1"/>
        <v>1.534</v>
      </c>
      <c r="N38" s="8">
        <f t="shared" si="2"/>
        <v>1.411</v>
      </c>
      <c r="O38" s="8">
        <f t="shared" si="3"/>
        <v>1.411</v>
      </c>
    </row>
    <row r="39" spans="1:15" x14ac:dyDescent="0.25">
      <c r="A39">
        <v>40</v>
      </c>
      <c r="B39">
        <v>1</v>
      </c>
      <c r="C39" s="3" t="s">
        <v>89</v>
      </c>
      <c r="D39" s="3" t="s">
        <v>90</v>
      </c>
      <c r="F39" t="s">
        <v>91</v>
      </c>
      <c r="H39" t="s">
        <v>56</v>
      </c>
      <c r="J39" s="8">
        <v>1.05</v>
      </c>
      <c r="K39" s="8">
        <v>0.77100000000000002</v>
      </c>
      <c r="L39" s="8">
        <v>0.59599999999999997</v>
      </c>
      <c r="M39" s="8">
        <f t="shared" si="1"/>
        <v>1.05</v>
      </c>
      <c r="N39" s="8">
        <f t="shared" si="2"/>
        <v>0.77100000000000002</v>
      </c>
      <c r="O39" s="8">
        <f t="shared" si="3"/>
        <v>0.59599999999999997</v>
      </c>
    </row>
    <row r="40" spans="1:15" x14ac:dyDescent="0.25">
      <c r="A40">
        <v>41</v>
      </c>
      <c r="B40">
        <v>1</v>
      </c>
      <c r="C40" s="3" t="s">
        <v>92</v>
      </c>
      <c r="D40" s="3" t="s">
        <v>93</v>
      </c>
      <c r="F40" t="s">
        <v>93</v>
      </c>
      <c r="H40" t="s">
        <v>94</v>
      </c>
      <c r="J40" s="8">
        <v>2.4129999999999998</v>
      </c>
      <c r="K40" s="8">
        <v>1.94</v>
      </c>
      <c r="L40" s="8">
        <v>1.32</v>
      </c>
      <c r="M40" s="8">
        <f t="shared" si="1"/>
        <v>2.4129999999999998</v>
      </c>
      <c r="N40" s="8">
        <f t="shared" si="2"/>
        <v>1.94</v>
      </c>
      <c r="O40" s="8">
        <f t="shared" si="3"/>
        <v>1.32</v>
      </c>
    </row>
    <row r="41" spans="1:15" x14ac:dyDescent="0.25">
      <c r="A41">
        <v>42</v>
      </c>
      <c r="B41">
        <v>1</v>
      </c>
      <c r="C41" s="3" t="s">
        <v>95</v>
      </c>
      <c r="D41" s="3" t="s">
        <v>96</v>
      </c>
      <c r="F41" t="s">
        <v>97</v>
      </c>
      <c r="H41" t="s">
        <v>48</v>
      </c>
      <c r="J41" s="8">
        <v>1.9379999999999999</v>
      </c>
      <c r="K41" s="8">
        <v>1.5580000000000001</v>
      </c>
      <c r="L41" s="8">
        <v>1.0609999999999999</v>
      </c>
      <c r="M41" s="8">
        <f t="shared" si="1"/>
        <v>1.9379999999999999</v>
      </c>
      <c r="N41" s="8">
        <f t="shared" si="2"/>
        <v>1.5580000000000001</v>
      </c>
      <c r="O41" s="8">
        <f t="shared" si="3"/>
        <v>1.0609999999999999</v>
      </c>
    </row>
    <row r="42" spans="1:15" x14ac:dyDescent="0.25">
      <c r="A42">
        <v>43</v>
      </c>
      <c r="B42">
        <v>1</v>
      </c>
      <c r="C42" s="3" t="s">
        <v>98</v>
      </c>
      <c r="D42" s="3" t="s">
        <v>99</v>
      </c>
      <c r="F42" t="s">
        <v>99</v>
      </c>
      <c r="H42" t="s">
        <v>100</v>
      </c>
      <c r="J42" s="8">
        <v>0.80100000000000005</v>
      </c>
      <c r="K42" s="8">
        <v>0.624</v>
      </c>
      <c r="L42" s="8">
        <v>0.40699999999999997</v>
      </c>
      <c r="M42" s="8">
        <f t="shared" si="1"/>
        <v>0.80100000000000005</v>
      </c>
      <c r="N42" s="8">
        <f t="shared" si="2"/>
        <v>0.624</v>
      </c>
      <c r="O42" s="8">
        <f t="shared" si="3"/>
        <v>0.40699999999999997</v>
      </c>
    </row>
    <row r="43" spans="1:15" x14ac:dyDescent="0.25">
      <c r="A43">
        <v>44</v>
      </c>
      <c r="B43">
        <v>1</v>
      </c>
      <c r="C43" s="3" t="s">
        <v>112</v>
      </c>
      <c r="J43" s="8">
        <v>0.92700000000000005</v>
      </c>
      <c r="K43" s="8">
        <v>0.69299999999999995</v>
      </c>
      <c r="L43" s="8">
        <v>0.65800000000000003</v>
      </c>
      <c r="M43" s="8">
        <f t="shared" si="1"/>
        <v>0.92700000000000005</v>
      </c>
      <c r="N43" s="8">
        <f t="shared" si="2"/>
        <v>0.69299999999999995</v>
      </c>
      <c r="O43" s="8">
        <f t="shared" si="3"/>
        <v>0.65800000000000003</v>
      </c>
    </row>
    <row r="44" spans="1:15" x14ac:dyDescent="0.25">
      <c r="A44">
        <v>45</v>
      </c>
      <c r="B44">
        <v>1</v>
      </c>
      <c r="C44" s="3" t="s">
        <v>113</v>
      </c>
      <c r="J44" s="8">
        <f>120/T1</f>
        <v>7.741935483870968</v>
      </c>
      <c r="K44" s="8">
        <f>120/T1</f>
        <v>7.741935483870968</v>
      </c>
      <c r="L44" s="8">
        <f>120/T1</f>
        <v>7.741935483870968</v>
      </c>
      <c r="M44" s="8">
        <f t="shared" si="1"/>
        <v>7.741935483870968</v>
      </c>
      <c r="N44" s="8">
        <f t="shared" si="2"/>
        <v>7.741935483870968</v>
      </c>
      <c r="O44" s="8">
        <f t="shared" si="3"/>
        <v>7.741935483870968</v>
      </c>
    </row>
    <row r="45" spans="1:15" x14ac:dyDescent="0.25">
      <c r="A45">
        <v>46</v>
      </c>
      <c r="B45">
        <v>1</v>
      </c>
      <c r="C45" s="3" t="s">
        <v>114</v>
      </c>
      <c r="J45" s="8">
        <f>15/T1</f>
        <v>0.967741935483871</v>
      </c>
      <c r="K45" s="8">
        <f>15/T1</f>
        <v>0.967741935483871</v>
      </c>
      <c r="L45" s="8">
        <f>15/T1</f>
        <v>0.967741935483871</v>
      </c>
      <c r="M45" s="8">
        <f t="shared" si="1"/>
        <v>0.967741935483871</v>
      </c>
      <c r="N45" s="8">
        <f t="shared" si="2"/>
        <v>0.967741935483871</v>
      </c>
      <c r="O45" s="8">
        <f t="shared" si="3"/>
        <v>0.967741935483871</v>
      </c>
    </row>
    <row r="46" spans="1:15" x14ac:dyDescent="0.25">
      <c r="A46">
        <v>47</v>
      </c>
      <c r="B46">
        <v>1</v>
      </c>
      <c r="C46" s="3" t="s">
        <v>115</v>
      </c>
      <c r="J46" s="8">
        <v>2.61</v>
      </c>
      <c r="K46" s="8">
        <v>2.41</v>
      </c>
      <c r="L46" s="8">
        <v>1.1299999999999999</v>
      </c>
      <c r="M46" s="8">
        <f t="shared" si="1"/>
        <v>2.61</v>
      </c>
      <c r="N46" s="8">
        <f t="shared" si="2"/>
        <v>2.41</v>
      </c>
      <c r="O46" s="8">
        <f t="shared" si="3"/>
        <v>1.1299999999999999</v>
      </c>
    </row>
    <row r="47" spans="1:15" x14ac:dyDescent="0.25">
      <c r="A47">
        <v>48</v>
      </c>
      <c r="B47">
        <v>4</v>
      </c>
      <c r="C47" s="3" t="s">
        <v>116</v>
      </c>
      <c r="J47" s="8">
        <v>0.2</v>
      </c>
      <c r="K47" s="8">
        <v>0.13700000000000001</v>
      </c>
      <c r="L47" s="8">
        <v>0.13700000000000001</v>
      </c>
      <c r="M47" s="8">
        <f t="shared" si="1"/>
        <v>0.8</v>
      </c>
      <c r="N47" s="8">
        <f t="shared" si="2"/>
        <v>0.54800000000000004</v>
      </c>
      <c r="O47" s="8">
        <f t="shared" si="3"/>
        <v>0.54800000000000004</v>
      </c>
    </row>
    <row r="48" spans="1:15" x14ac:dyDescent="0.25">
      <c r="A48">
        <v>49</v>
      </c>
      <c r="B48">
        <v>1</v>
      </c>
      <c r="C48" s="3" t="s">
        <v>117</v>
      </c>
      <c r="J48" s="8">
        <f>60/T1</f>
        <v>3.870967741935484</v>
      </c>
      <c r="K48" s="8">
        <f>50/T1</f>
        <v>3.225806451612903</v>
      </c>
      <c r="L48" s="8">
        <f>40/T1</f>
        <v>2.5806451612903225</v>
      </c>
      <c r="M48" s="8">
        <f t="shared" si="1"/>
        <v>3.870967741935484</v>
      </c>
      <c r="N48" s="8">
        <f t="shared" si="2"/>
        <v>3.225806451612903</v>
      </c>
      <c r="O48" s="8">
        <f t="shared" si="3"/>
        <v>2.5806451612903225</v>
      </c>
    </row>
    <row r="49" spans="13:15" ht="15.75" thickBot="1" x14ac:dyDescent="0.3">
      <c r="M49" s="9">
        <f>SUM(M2:M48)</f>
        <v>40.56864516129032</v>
      </c>
      <c r="N49" s="9">
        <f>SUM(N2:N48)</f>
        <v>34.522483870967747</v>
      </c>
      <c r="O49" s="9">
        <f>SUM(O2:O48)</f>
        <v>28.26732258064516</v>
      </c>
    </row>
    <row r="50" spans="13:15" ht="15.75" thickTop="1" x14ac:dyDescent="0.25"/>
    <row r="51" spans="13:15" x14ac:dyDescent="0.25">
      <c r="M51" s="7">
        <f>M49*$T1</f>
        <v>628.81399999999996</v>
      </c>
      <c r="N51" s="7">
        <f t="shared" ref="N51:O51" si="4">N49*$T1</f>
        <v>535.09850000000006</v>
      </c>
      <c r="O51" s="7">
        <f t="shared" si="4"/>
        <v>438.14349999999996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Hardware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</dc:creator>
  <cp:lastModifiedBy>Stephen</cp:lastModifiedBy>
  <dcterms:created xsi:type="dcterms:W3CDTF">2022-03-16T13:47:46Z</dcterms:created>
  <dcterms:modified xsi:type="dcterms:W3CDTF">2022-03-16T15:32:51Z</dcterms:modified>
</cp:coreProperties>
</file>